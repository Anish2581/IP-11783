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1_Deliverables_Filled\"/>
    </mc:Choice>
  </mc:AlternateContent>
  <xr:revisionPtr revIDLastSave="0" documentId="13_ncr:1_{A034975C-EE13-4C71-A17E-E5013CD780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ID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R6" i="1" s="1"/>
  <c r="M2" i="1"/>
  <c r="M6" i="1" s="1"/>
</calcChain>
</file>

<file path=xl/sharedStrings.xml><?xml version="1.0" encoding="utf-8"?>
<sst xmlns="http://schemas.openxmlformats.org/spreadsheetml/2006/main" count="138" uniqueCount="77">
  <si>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</si>
  <si>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</si>
  <si>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</si>
  <si>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</si>
  <si>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</si>
  <si>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</si>
  <si>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</si>
  <si>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</si>
  <si>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</si>
  <si>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t xml:space="preserve">Instruction to use the RAID log template: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</si>
  <si>
    <t>Project title:</t>
  </si>
  <si>
    <t>Web Service Open to Malicious Attacks</t>
  </si>
  <si>
    <t>Project Id:</t>
  </si>
  <si>
    <t>IP-11783</t>
  </si>
  <si>
    <t>Project Manager:</t>
  </si>
  <si>
    <t>Harshada Topale</t>
  </si>
  <si>
    <t>Assumption</t>
  </si>
  <si>
    <t>Issue</t>
  </si>
  <si>
    <t>DOCUMENT VERSION:</t>
  </si>
  <si>
    <t>1.0</t>
  </si>
  <si>
    <t>Last Updated date:</t>
  </si>
  <si>
    <t>Project Team Lead:</t>
  </si>
  <si>
    <t>Anish Akhilesh Gupta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</si>
  <si>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</si>
  <si>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</si>
  <si>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</si>
  <si>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</si>
  <si>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</si>
  <si>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</si>
  <si>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</si>
  <si>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</si>
  <si>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</si>
  <si>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</si>
  <si>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</si>
  <si>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</si>
  <si>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Very short timeline (about 7 days) to complete scanning, the steganography program and 12 documents.</t>
  </si>
  <si>
    <t>Incomplete testing or documentation; risk of missing the 17-Oct-2026 deadline.</t>
  </si>
  <si>
    <t>Prioritise the three core scans and the Findings Document first; time-cap long-running scans; submit with a one-day buffer.</t>
  </si>
  <si>
    <t>Open</t>
  </si>
  <si>
    <t>Accidentally testing outside the authorised scope (e.g. the external Bitrix24 redirect target).</t>
  </si>
  <si>
    <t>Policy violation; testing on an asset not owned by Cloud Counselage.</t>
  </si>
  <si>
    <t>Confirmed the authorised hostname before scanning; noted the redirect in the report without testing the redirected domain.</t>
  </si>
  <si>
    <t>Closed</t>
  </si>
  <si>
    <t>Target's WAF (observed via the 'wafrule' response header during Nikto scanning) blocking or limiting automated scans.</t>
  </si>
  <si>
    <t>Some vulnerabilities may go undetected.</t>
  </si>
  <si>
    <t>Documented the WAF detection itself as a positive finding; relied on three different tools to cross-check coverage.</t>
  </si>
  <si>
    <t>Medium</t>
  </si>
  <si>
    <t>Limited availability of the intern due to other commitments.</t>
  </si>
  <si>
    <t>Fewer working hours; delay in milestones.</t>
  </si>
  <si>
    <t>Block fixed daily work slots; prioritise mandatory deliverables; inform the Project Manager early.</t>
  </si>
  <si>
    <t>A scan result is misread and reported as a false positive.</t>
  </si>
  <si>
    <t>Incorrect findings reduce report credibility.</t>
  </si>
  <si>
    <t>Cross-check every notable finding across at least two tools before including it in the report.</t>
  </si>
  <si>
    <t>Formal authorisation exists to test the hosted instance of giftacareer.in as stated in the Problem Statement.</t>
  </si>
  <si>
    <t>If authorisation is narrower than assumed, scope must be reduced.</t>
  </si>
  <si>
    <t>Testing was limited strictly to the stated hostname throughout.</t>
  </si>
  <si>
    <t>The Kali Linux environment with Nmap, Nikto and OWASP ZAP is sufficient for the audit.</t>
  </si>
  <si>
    <t>If additional tools are required, extra setup time is needed.</t>
  </si>
  <si>
    <t>All required tools were confirmed installed and working before scanning began.</t>
  </si>
  <si>
    <t>No brute-force or DoS/DDoS attacks are to be performed, per the Problem Statement.</t>
  </si>
  <si>
    <t>Some vulnerability classes (e.g. weak-password accounts) cannot be confirmed.</t>
  </si>
  <si>
    <t>Documented this as an explicit testing boundary in the SRS and Findings Document.</t>
  </si>
  <si>
    <t>Late start - only about 7 days remained before the 17-Oct-2026 submission for a 120-hour internship.</t>
  </si>
  <si>
    <t>Compressed schedule; fewer hours than the 120-hour target; no buffer for rework.</t>
  </si>
  <si>
    <t>Informed the Project Manager; reduced scope to the three core tools plus the steganography utility.</t>
  </si>
  <si>
    <t>HSTS and X-Frame-Options headers found missing on the target during Nmap/Nikto scanning.</t>
  </si>
  <si>
    <t>Site is more exposed to protocol-downgrade and clickjacking risks than it should be.</t>
  </si>
  <si>
    <t>Logged as a High/Medium finding with a specific suggested patch in the Findings Document.</t>
  </si>
  <si>
    <t>Guidance and feedback from the Project Manager on scope, templates and the 'List of Deliverables'.</t>
  </si>
  <si>
    <t>Wrong format or missing content if guidance is not received in time.</t>
  </si>
  <si>
    <t>Raised queries early; followed the provided templates exactly.</t>
  </si>
  <si>
    <t>Continuous availability of the hosted giftacareer.in testing instance.</t>
  </si>
  <si>
    <t>Scans cannot complete if the target is down.</t>
  </si>
  <si>
    <t>Scheduled scans in a single focused session once connectivity was confirmed.</t>
  </si>
  <si>
    <t>Stable internet connection throughout scanning (ZAP spidering and active scan can take 20-60 minutes).</t>
  </si>
  <si>
    <t>Delays or incomplete scans if the connection drops.</t>
  </si>
  <si>
    <t>Ran long scans on a stable connection and kept raw output files as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</si>
</sst>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2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7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1" fillId="3" borderId="0" xfId="0" applyFont="1" applyFill="1"/>
    <xf numFmtId="0" fontId="11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12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4" fillId="2" borderId="8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right" vertical="center"/>
    </xf>
    <xf numFmtId="9" fontId="15" fillId="2" borderId="0" xfId="0" applyNumberFormat="1" applyFont="1" applyFill="1" applyAlignment="1">
      <alignment horizontal="left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left" vertical="center"/>
    </xf>
    <xf numFmtId="0" fontId="17" fillId="5" borderId="13" xfId="0" applyFont="1" applyFill="1" applyBorder="1" applyAlignment="1">
      <alignment horizontal="left" vertical="center"/>
    </xf>
    <xf numFmtId="0" fontId="3" fillId="2" borderId="19" xfId="0" applyFont="1" applyFill="1" applyBorder="1"/>
    <xf numFmtId="0" fontId="3" fillId="2" borderId="20" xfId="0" applyFont="1" applyFill="1" applyBorder="1"/>
    <xf numFmtId="0" fontId="19" fillId="2" borderId="0" xfId="0" applyFont="1" applyFill="1"/>
    <xf numFmtId="0" fontId="20" fillId="2" borderId="0" xfId="0" applyFont="1" applyFill="1"/>
    <xf numFmtId="0" fontId="3" fillId="8" borderId="0" xfId="0" applyFont="1" applyFill="1"/>
    <xf numFmtId="0" fontId="21" fillId="2" borderId="0" xfId="1" applyFill="1"/>
    <xf numFmtId="0" fontId="13" fillId="5" borderId="13" xfId="0" applyFont="1" applyFill="1" applyBorder="1" applyAlignment="1">
      <alignment horizontal="center" vertical="top" wrapText="1"/>
    </xf>
    <xf numFmtId="0" fontId="14" fillId="5" borderId="13" xfId="0" applyFont="1" applyFill="1" applyBorder="1" applyAlignment="1">
      <alignment horizontal="left" vertical="top" wrapText="1"/>
    </xf>
    <xf numFmtId="0" fontId="14" fillId="5" borderId="13" xfId="0" applyFont="1" applyFill="1" applyBorder="1" applyAlignment="1">
      <alignment horizontal="center" vertical="top" wrapText="1"/>
    </xf>
    <xf numFmtId="0" fontId="14" fillId="5" borderId="14" xfId="0" applyFont="1" applyFill="1" applyBorder="1" applyAlignment="1">
      <alignment horizontal="center" vertical="top" wrapText="1"/>
    </xf>
    <xf numFmtId="0" fontId="3" fillId="5" borderId="13" xfId="0" applyFont="1" applyFill="1" applyBorder="1" applyAlignment="1">
      <alignment horizontal="center" vertical="top" wrapText="1"/>
    </xf>
    <xf numFmtId="0" fontId="16" fillId="5" borderId="13" xfId="0" applyFont="1" applyFill="1" applyBorder="1" applyAlignment="1">
      <alignment horizontal="left" vertical="top" wrapText="1"/>
    </xf>
    <xf numFmtId="0" fontId="13" fillId="5" borderId="13" xfId="0" applyFont="1" applyFill="1" applyBorder="1" applyAlignment="1">
      <alignment horizontal="left" vertical="top" wrapText="1"/>
    </xf>
    <xf numFmtId="0" fontId="3" fillId="5" borderId="14" xfId="0" applyFont="1" applyFill="1" applyBorder="1" applyAlignment="1">
      <alignment horizontal="center" vertical="top" wrapText="1"/>
    </xf>
    <xf numFmtId="0" fontId="3" fillId="5" borderId="13" xfId="0" applyFont="1" applyFill="1" applyBorder="1" applyAlignment="1">
      <alignment horizontal="left" vertical="top" wrapText="1"/>
    </xf>
    <xf numFmtId="0" fontId="17" fillId="5" borderId="13" xfId="0" applyFont="1" applyFill="1" applyBorder="1" applyAlignment="1">
      <alignment horizontal="left" vertical="top" wrapText="1"/>
    </xf>
    <xf numFmtId="0" fontId="18" fillId="7" borderId="0" xfId="0" applyFont="1" applyFill="1" applyAlignment="1">
      <alignment horizontal="center" vertical="center"/>
    </xf>
    <xf numFmtId="0" fontId="0" fillId="0" borderId="0" xfId="0"/>
    <xf numFmtId="0" fontId="8" fillId="4" borderId="2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2">
    <cellStyle name="Hyperlink" xfId="1" builtinId="8"/>
    <cellStyle name="Normal" xfId="0" builtinId="0"/>
  </cellStyles>
  <dxfs count="9">
    <dxf>
      <font>
        <color rgb="FF00B050"/>
      </font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</dxf>
    <dxf>
      <font>
        <color rgb="FF0000CC"/>
      </font>
    </dxf>
    <dxf>
      <font>
        <color rgb="FF4F612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A1000"/>
  <sheetViews>
    <sheetView tabSelected="1" workbookViewId="0">
      <selection activeCell="H9" sqref="H9"/>
    </sheetView>
  </sheetViews>
  <sheetFormatPr defaultColWidth="14.44140625" defaultRowHeight="14.4" x14ac:dyDescent="0.3"/>
  <cols>
    <col min="1" max="1" width="2.6640625" customWidth="1"/>
    <col min="2" max="2" width="17.33203125" customWidth="1"/>
    <col min="3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thickBot="1" x14ac:dyDescent="0.35">
      <c r="A1" s="1"/>
      <c r="B1" s="2" t="s">
        <v>0</v>
      </c>
      <c r="C1" s="49" t="s">
        <v>1</v>
      </c>
      <c r="D1" s="3"/>
      <c r="E1" s="48"/>
      <c r="F1" s="48"/>
      <c r="G1" s="48"/>
      <c r="H1" s="48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5</v>
      </c>
      <c r="N2" s="13">
        <f>COUNTIFS(B9:B32,L2,G9:G32,N1,I9:I32,"Open")</f>
        <v>1</v>
      </c>
      <c r="O2" s="13">
        <f>COUNTIFS(B9:B32,L2,G9:G32,O1,I9:I32,"Open")</f>
        <v>1</v>
      </c>
      <c r="P2" s="13">
        <f>COUNTIFS(B9:B32,L2,G9:G32,P1,I9:I32,"Open")</f>
        <v>0</v>
      </c>
      <c r="Q2" s="13">
        <f>COUNTIFS(B9:B32,L2,G9:G32,Q1,I9:I32,"Open")</f>
        <v>1</v>
      </c>
      <c r="R2" s="14">
        <f>COUNTIFS(B9:B32,L2,G9:G32,R1,I9:I32,"Open")</f>
        <v>0</v>
      </c>
      <c r="S2" s="62" t="s">
        <v>9</v>
      </c>
      <c r="T2" s="63"/>
      <c r="U2" s="63"/>
      <c r="V2" s="63"/>
      <c r="W2" s="63"/>
      <c r="X2" s="63"/>
      <c r="Y2" s="63"/>
      <c r="Z2" s="63"/>
      <c r="AA2" s="64"/>
    </row>
    <row r="3" spans="1:27" ht="18" customHeight="1" x14ac:dyDescent="0.3">
      <c r="A3" s="7"/>
      <c r="B3" s="8" t="s">
        <v>10</v>
      </c>
      <c r="C3" s="15" t="s">
        <v>11</v>
      </c>
      <c r="D3" s="16"/>
      <c r="E3" s="8" t="s">
        <v>12</v>
      </c>
      <c r="F3" s="15" t="s">
        <v>13</v>
      </c>
      <c r="G3" s="8" t="s">
        <v>14</v>
      </c>
      <c r="H3" s="15" t="s">
        <v>15</v>
      </c>
      <c r="I3" s="7"/>
      <c r="J3" s="7"/>
      <c r="K3" s="10"/>
      <c r="L3" s="11" t="s">
        <v>16</v>
      </c>
      <c r="M3" s="12">
        <f>COUNTIF(B9:B32,L3)</f>
        <v>3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2</v>
      </c>
      <c r="R3" s="14">
        <f>COUNTIFS(B9:B32,L3,G9:G32,R1,I9:I32,"Open")</f>
        <v>0</v>
      </c>
      <c r="S3" s="65"/>
      <c r="T3" s="61"/>
      <c r="U3" s="61"/>
      <c r="V3" s="61"/>
      <c r="W3" s="61"/>
      <c r="X3" s="61"/>
      <c r="Y3" s="61"/>
      <c r="Z3" s="61"/>
      <c r="AA3" s="66"/>
    </row>
    <row r="4" spans="1:27" ht="6" customHeight="1" x14ac:dyDescent="0.3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17</v>
      </c>
      <c r="M4" s="12">
        <f>COUNTIF(B9:B32,L4)</f>
        <v>2</v>
      </c>
      <c r="N4" s="13">
        <f>COUNTIFS(B9:B32,L4,G9:G32,N1,I9:I32,"Open")</f>
        <v>1</v>
      </c>
      <c r="O4" s="13">
        <f>COUNTIFS(B9:B32,L4,G9:G32,O1,I9:I32,"Open")</f>
        <v>1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65"/>
      <c r="T4" s="61"/>
      <c r="U4" s="61"/>
      <c r="V4" s="61"/>
      <c r="W4" s="61"/>
      <c r="X4" s="61"/>
      <c r="Y4" s="61"/>
      <c r="Z4" s="61"/>
      <c r="AA4" s="66"/>
    </row>
    <row r="5" spans="1:27" ht="18" customHeight="1" x14ac:dyDescent="0.3">
      <c r="A5" s="7"/>
      <c r="B5" s="3" t="s">
        <v>18</v>
      </c>
      <c r="C5" s="20" t="s">
        <v>19</v>
      </c>
      <c r="D5" s="21"/>
      <c r="E5" s="8" t="s">
        <v>20</v>
      </c>
      <c r="F5" s="22">
        <v>46280</v>
      </c>
      <c r="G5" s="8" t="s">
        <v>21</v>
      </c>
      <c r="H5" s="15" t="s">
        <v>22</v>
      </c>
      <c r="I5" s="7"/>
      <c r="J5" s="7"/>
      <c r="K5" s="19"/>
      <c r="L5" s="11" t="s">
        <v>23</v>
      </c>
      <c r="M5" s="12">
        <f>COUNTIF(B9:B32,L5)</f>
        <v>3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1</v>
      </c>
      <c r="Q5" s="13">
        <f>COUNTIFS(B9:B32,L5,G9:G32,Q1,I9:I32,"Open")</f>
        <v>0</v>
      </c>
      <c r="R5" s="14">
        <f>COUNTIFS(B9:B32,L5,G9:G32,R1,I9:I32,"Open")</f>
        <v>0</v>
      </c>
      <c r="S5" s="65"/>
      <c r="T5" s="61"/>
      <c r="U5" s="61"/>
      <c r="V5" s="61"/>
      <c r="W5" s="61"/>
      <c r="X5" s="61"/>
      <c r="Y5" s="61"/>
      <c r="Z5" s="61"/>
      <c r="AA5" s="66"/>
    </row>
    <row r="6" spans="1:27" ht="15" customHeight="1" x14ac:dyDescent="0.3">
      <c r="A6" s="7"/>
      <c r="B6" s="23" t="s">
        <v>24</v>
      </c>
      <c r="C6" s="24"/>
      <c r="D6" s="24"/>
      <c r="E6" s="25"/>
      <c r="F6" s="24"/>
      <c r="G6" s="23" t="s">
        <v>24</v>
      </c>
      <c r="H6" s="26" t="s">
        <v>25</v>
      </c>
      <c r="I6" s="26" t="s">
        <v>26</v>
      </c>
      <c r="J6" s="7"/>
      <c r="K6" s="19"/>
      <c r="L6" s="4"/>
      <c r="M6" s="12">
        <f>SUM(M2:M5)</f>
        <v>13</v>
      </c>
      <c r="N6" s="4"/>
      <c r="O6" s="4"/>
      <c r="P6" s="4"/>
      <c r="Q6" s="4"/>
      <c r="R6" s="27">
        <f>SUM(N2:R5)</f>
        <v>8</v>
      </c>
      <c r="S6" s="65"/>
      <c r="T6" s="61"/>
      <c r="U6" s="61"/>
      <c r="V6" s="61"/>
      <c r="W6" s="61"/>
      <c r="X6" s="61"/>
      <c r="Y6" s="61"/>
      <c r="Z6" s="61"/>
      <c r="AA6" s="66"/>
    </row>
    <row r="7" spans="1:27" ht="6" customHeight="1" x14ac:dyDescent="0.3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65"/>
      <c r="T7" s="61"/>
      <c r="U7" s="61"/>
      <c r="V7" s="61"/>
      <c r="W7" s="61"/>
      <c r="X7" s="61"/>
      <c r="Y7" s="61"/>
      <c r="Z7" s="61"/>
      <c r="AA7" s="66"/>
    </row>
    <row r="8" spans="1:27" ht="24" customHeight="1" x14ac:dyDescent="0.3">
      <c r="A8" s="31"/>
      <c r="B8" s="32" t="s">
        <v>27</v>
      </c>
      <c r="C8" s="33" t="s">
        <v>28</v>
      </c>
      <c r="D8" s="33" t="s">
        <v>29</v>
      </c>
      <c r="E8" s="34" t="s">
        <v>30</v>
      </c>
      <c r="F8" s="35" t="s">
        <v>31</v>
      </c>
      <c r="G8" s="35" t="s">
        <v>32</v>
      </c>
      <c r="H8" s="35" t="s">
        <v>33</v>
      </c>
      <c r="I8" s="36" t="s">
        <v>34</v>
      </c>
      <c r="J8" s="37"/>
      <c r="K8" s="5"/>
      <c r="L8" s="4"/>
      <c r="M8" s="4"/>
      <c r="N8" s="4"/>
      <c r="O8" s="4"/>
      <c r="P8" s="4"/>
      <c r="Q8" s="4"/>
      <c r="R8" s="4"/>
      <c r="S8" s="65"/>
      <c r="T8" s="61"/>
      <c r="U8" s="61"/>
      <c r="V8" s="61"/>
      <c r="W8" s="61"/>
      <c r="X8" s="61"/>
      <c r="Y8" s="61"/>
      <c r="Z8" s="61"/>
      <c r="AA8" s="66"/>
    </row>
    <row r="9" spans="1:27" ht="78" customHeight="1" x14ac:dyDescent="0.3">
      <c r="A9" s="38">
        <v>1</v>
      </c>
      <c r="B9" s="50" t="s">
        <v>8</v>
      </c>
      <c r="C9" s="51" t="s">
        <v>35</v>
      </c>
      <c r="D9" s="51" t="s">
        <v>36</v>
      </c>
      <c r="E9" s="51" t="s">
        <v>37</v>
      </c>
      <c r="F9" s="52" t="s">
        <v>22</v>
      </c>
      <c r="G9" s="52" t="s">
        <v>3</v>
      </c>
      <c r="H9" s="52">
        <v>100</v>
      </c>
      <c r="I9" s="53" t="s">
        <v>38</v>
      </c>
      <c r="J9" s="39" t="s">
        <v>8</v>
      </c>
      <c r="K9" s="4"/>
      <c r="L9" s="4"/>
      <c r="M9" s="4"/>
      <c r="N9" s="4"/>
      <c r="O9" s="4"/>
      <c r="P9" s="4"/>
      <c r="Q9" s="4"/>
      <c r="R9" s="4"/>
      <c r="S9" s="65"/>
      <c r="T9" s="61"/>
      <c r="U9" s="61"/>
      <c r="V9" s="61"/>
      <c r="W9" s="61"/>
      <c r="X9" s="61"/>
      <c r="Y9" s="61"/>
      <c r="Z9" s="61"/>
      <c r="AA9" s="66"/>
    </row>
    <row r="10" spans="1:27" ht="64.95" customHeight="1" x14ac:dyDescent="0.3">
      <c r="A10" s="38">
        <v>2</v>
      </c>
      <c r="B10" s="54" t="s">
        <v>8</v>
      </c>
      <c r="C10" s="55" t="s">
        <v>39</v>
      </c>
      <c r="D10" s="56" t="s">
        <v>40</v>
      </c>
      <c r="E10" s="56" t="s">
        <v>41</v>
      </c>
      <c r="F10" s="54" t="s">
        <v>22</v>
      </c>
      <c r="G10" s="54" t="s">
        <v>4</v>
      </c>
      <c r="H10" s="54">
        <v>60</v>
      </c>
      <c r="I10" s="57" t="s">
        <v>42</v>
      </c>
      <c r="J10" s="39" t="s">
        <v>16</v>
      </c>
      <c r="K10" s="4"/>
      <c r="L10" s="4"/>
      <c r="M10" s="4"/>
      <c r="N10" s="4"/>
      <c r="O10" s="4"/>
      <c r="P10" s="4"/>
      <c r="Q10" s="4"/>
      <c r="R10" s="4"/>
      <c r="S10" s="65"/>
      <c r="T10" s="61"/>
      <c r="U10" s="61"/>
      <c r="V10" s="61"/>
      <c r="W10" s="61"/>
      <c r="X10" s="61"/>
      <c r="Y10" s="61"/>
      <c r="Z10" s="61"/>
      <c r="AA10" s="66"/>
    </row>
    <row r="11" spans="1:27" ht="64.95" customHeight="1" x14ac:dyDescent="0.3">
      <c r="A11" s="38">
        <v>3</v>
      </c>
      <c r="B11" s="54" t="s">
        <v>8</v>
      </c>
      <c r="C11" s="58" t="s">
        <v>43</v>
      </c>
      <c r="D11" s="58" t="s">
        <v>44</v>
      </c>
      <c r="E11" s="59" t="s">
        <v>45</v>
      </c>
      <c r="F11" s="54" t="s">
        <v>22</v>
      </c>
      <c r="G11" s="54" t="s">
        <v>46</v>
      </c>
      <c r="H11" s="54">
        <v>40</v>
      </c>
      <c r="I11" s="57" t="s">
        <v>38</v>
      </c>
      <c r="J11" s="39" t="s">
        <v>17</v>
      </c>
      <c r="K11" s="4"/>
      <c r="L11" s="4"/>
      <c r="M11" s="4"/>
      <c r="N11" s="4"/>
      <c r="O11" s="4"/>
      <c r="P11" s="4"/>
      <c r="Q11" s="4"/>
      <c r="R11" s="4"/>
      <c r="S11" s="65"/>
      <c r="T11" s="61"/>
      <c r="U11" s="61"/>
      <c r="V11" s="61"/>
      <c r="W11" s="61"/>
      <c r="X11" s="61"/>
      <c r="Y11" s="61"/>
      <c r="Z11" s="61"/>
      <c r="AA11" s="66"/>
    </row>
    <row r="12" spans="1:27" ht="64.95" customHeight="1" x14ac:dyDescent="0.3">
      <c r="A12" s="38">
        <v>4</v>
      </c>
      <c r="B12" s="54" t="s">
        <v>8</v>
      </c>
      <c r="C12" s="58" t="s">
        <v>47</v>
      </c>
      <c r="D12" s="58" t="s">
        <v>48</v>
      </c>
      <c r="E12" s="59" t="s">
        <v>49</v>
      </c>
      <c r="F12" s="54" t="s">
        <v>22</v>
      </c>
      <c r="G12" s="54" t="s">
        <v>4</v>
      </c>
      <c r="H12" s="54">
        <v>48</v>
      </c>
      <c r="I12" s="57" t="s">
        <v>38</v>
      </c>
      <c r="J12" s="39" t="s">
        <v>23</v>
      </c>
      <c r="K12" s="4"/>
      <c r="L12" s="4"/>
      <c r="M12" s="4"/>
      <c r="N12" s="4"/>
      <c r="O12" s="4"/>
      <c r="P12" s="4"/>
      <c r="Q12" s="4"/>
      <c r="R12" s="4"/>
      <c r="S12" s="65"/>
      <c r="T12" s="61"/>
      <c r="U12" s="61"/>
      <c r="V12" s="61"/>
      <c r="W12" s="61"/>
      <c r="X12" s="61"/>
      <c r="Y12" s="61"/>
      <c r="Z12" s="61"/>
      <c r="AA12" s="66"/>
    </row>
    <row r="13" spans="1:27" ht="64.95" customHeight="1" x14ac:dyDescent="0.3">
      <c r="A13" s="38">
        <v>5</v>
      </c>
      <c r="B13" s="54" t="s">
        <v>8</v>
      </c>
      <c r="C13" s="58" t="s">
        <v>50</v>
      </c>
      <c r="D13" s="58" t="s">
        <v>51</v>
      </c>
      <c r="E13" s="59" t="s">
        <v>52</v>
      </c>
      <c r="F13" s="54" t="s">
        <v>22</v>
      </c>
      <c r="G13" s="54" t="s">
        <v>6</v>
      </c>
      <c r="H13" s="54">
        <v>12</v>
      </c>
      <c r="I13" s="57" t="s">
        <v>38</v>
      </c>
      <c r="J13" s="39"/>
      <c r="K13" s="4"/>
      <c r="L13" s="4"/>
      <c r="M13" s="4"/>
      <c r="N13" s="4"/>
      <c r="O13" s="4"/>
      <c r="P13" s="4"/>
      <c r="Q13" s="4"/>
      <c r="R13" s="4"/>
      <c r="S13" s="65"/>
      <c r="T13" s="61"/>
      <c r="U13" s="61"/>
      <c r="V13" s="61"/>
      <c r="W13" s="61"/>
      <c r="X13" s="61"/>
      <c r="Y13" s="61"/>
      <c r="Z13" s="61"/>
      <c r="AA13" s="66"/>
    </row>
    <row r="14" spans="1:27" ht="64.95" customHeight="1" x14ac:dyDescent="0.3">
      <c r="A14" s="38">
        <v>6</v>
      </c>
      <c r="B14" s="54" t="s">
        <v>16</v>
      </c>
      <c r="C14" s="58" t="s">
        <v>53</v>
      </c>
      <c r="D14" s="58" t="s">
        <v>54</v>
      </c>
      <c r="E14" s="59" t="s">
        <v>55</v>
      </c>
      <c r="F14" s="54" t="s">
        <v>22</v>
      </c>
      <c r="G14" s="54" t="s">
        <v>6</v>
      </c>
      <c r="H14" s="54"/>
      <c r="I14" s="57" t="s">
        <v>38</v>
      </c>
      <c r="J14" s="39" t="s">
        <v>38</v>
      </c>
      <c r="K14" s="4"/>
      <c r="L14" s="4"/>
      <c r="M14" s="4"/>
      <c r="N14" s="4"/>
      <c r="O14" s="4"/>
      <c r="P14" s="4"/>
      <c r="Q14" s="4"/>
      <c r="R14" s="4"/>
      <c r="S14" s="65"/>
      <c r="T14" s="61"/>
      <c r="U14" s="61"/>
      <c r="V14" s="61"/>
      <c r="W14" s="61"/>
      <c r="X14" s="61"/>
      <c r="Y14" s="61"/>
      <c r="Z14" s="61"/>
      <c r="AA14" s="66"/>
    </row>
    <row r="15" spans="1:27" ht="52.05" customHeight="1" x14ac:dyDescent="0.3">
      <c r="A15" s="38">
        <v>7</v>
      </c>
      <c r="B15" s="54" t="s">
        <v>16</v>
      </c>
      <c r="C15" s="58" t="s">
        <v>56</v>
      </c>
      <c r="D15" s="58" t="s">
        <v>57</v>
      </c>
      <c r="E15" s="59" t="s">
        <v>58</v>
      </c>
      <c r="F15" s="54" t="s">
        <v>22</v>
      </c>
      <c r="G15" s="54" t="s">
        <v>6</v>
      </c>
      <c r="H15" s="54"/>
      <c r="I15" s="57" t="s">
        <v>42</v>
      </c>
      <c r="J15" s="39" t="s">
        <v>42</v>
      </c>
      <c r="K15" s="4"/>
      <c r="L15" s="4"/>
      <c r="M15" s="4"/>
      <c r="N15" s="4"/>
      <c r="O15" s="4"/>
      <c r="P15" s="4"/>
      <c r="Q15" s="4"/>
      <c r="R15" s="4"/>
      <c r="S15" s="65"/>
      <c r="T15" s="61"/>
      <c r="U15" s="61"/>
      <c r="V15" s="61"/>
      <c r="W15" s="61"/>
      <c r="X15" s="61"/>
      <c r="Y15" s="61"/>
      <c r="Z15" s="61"/>
      <c r="AA15" s="66"/>
    </row>
    <row r="16" spans="1:27" ht="52.05" customHeight="1" x14ac:dyDescent="0.3">
      <c r="A16" s="38">
        <v>8</v>
      </c>
      <c r="B16" s="54" t="s">
        <v>16</v>
      </c>
      <c r="C16" s="58" t="s">
        <v>59</v>
      </c>
      <c r="D16" s="58" t="s">
        <v>60</v>
      </c>
      <c r="E16" s="59" t="s">
        <v>61</v>
      </c>
      <c r="F16" s="54" t="s">
        <v>22</v>
      </c>
      <c r="G16" s="54" t="s">
        <v>6</v>
      </c>
      <c r="H16" s="54"/>
      <c r="I16" s="57" t="s">
        <v>38</v>
      </c>
      <c r="J16" s="39"/>
      <c r="K16" s="4"/>
      <c r="L16" s="4"/>
      <c r="M16" s="4"/>
      <c r="N16" s="4"/>
      <c r="O16" s="4"/>
      <c r="P16" s="4"/>
      <c r="Q16" s="4"/>
      <c r="R16" s="4"/>
      <c r="S16" s="65"/>
      <c r="T16" s="61"/>
      <c r="U16" s="61"/>
      <c r="V16" s="61"/>
      <c r="W16" s="61"/>
      <c r="X16" s="61"/>
      <c r="Y16" s="61"/>
      <c r="Z16" s="61"/>
      <c r="AA16" s="66"/>
    </row>
    <row r="17" spans="1:27" ht="64.95" customHeight="1" x14ac:dyDescent="0.3">
      <c r="A17" s="38">
        <v>9</v>
      </c>
      <c r="B17" s="54" t="s">
        <v>17</v>
      </c>
      <c r="C17" s="58" t="s">
        <v>62</v>
      </c>
      <c r="D17" s="58" t="s">
        <v>63</v>
      </c>
      <c r="E17" s="59" t="s">
        <v>64</v>
      </c>
      <c r="F17" s="54" t="s">
        <v>22</v>
      </c>
      <c r="G17" s="54" t="s">
        <v>3</v>
      </c>
      <c r="H17" s="54"/>
      <c r="I17" s="57" t="s">
        <v>38</v>
      </c>
      <c r="J17" s="39" t="s">
        <v>3</v>
      </c>
      <c r="K17" s="4"/>
      <c r="L17" s="4"/>
      <c r="M17" s="4"/>
      <c r="N17" s="4"/>
      <c r="O17" s="4"/>
      <c r="P17" s="4"/>
      <c r="Q17" s="4"/>
      <c r="R17" s="4"/>
      <c r="S17" s="65"/>
      <c r="T17" s="61"/>
      <c r="U17" s="61"/>
      <c r="V17" s="61"/>
      <c r="W17" s="61"/>
      <c r="X17" s="61"/>
      <c r="Y17" s="61"/>
      <c r="Z17" s="61"/>
      <c r="AA17" s="66"/>
    </row>
    <row r="18" spans="1:27" ht="52.05" customHeight="1" x14ac:dyDescent="0.3">
      <c r="A18" s="38">
        <v>10</v>
      </c>
      <c r="B18" s="54" t="s">
        <v>17</v>
      </c>
      <c r="C18" s="58" t="s">
        <v>65</v>
      </c>
      <c r="D18" s="58" t="s">
        <v>66</v>
      </c>
      <c r="E18" s="59" t="s">
        <v>67</v>
      </c>
      <c r="F18" s="54" t="s">
        <v>22</v>
      </c>
      <c r="G18" s="54" t="s">
        <v>4</v>
      </c>
      <c r="H18" s="54"/>
      <c r="I18" s="57" t="s">
        <v>38</v>
      </c>
      <c r="J18" s="39" t="s">
        <v>4</v>
      </c>
      <c r="K18" s="4"/>
      <c r="L18" s="4"/>
      <c r="M18" s="4"/>
      <c r="N18" s="4"/>
      <c r="O18" s="4"/>
      <c r="P18" s="4"/>
      <c r="Q18" s="4"/>
      <c r="R18" s="4"/>
      <c r="S18" s="65"/>
      <c r="T18" s="61"/>
      <c r="U18" s="61"/>
      <c r="V18" s="61"/>
      <c r="W18" s="61"/>
      <c r="X18" s="61"/>
      <c r="Y18" s="61"/>
      <c r="Z18" s="61"/>
      <c r="AA18" s="66"/>
    </row>
    <row r="19" spans="1:27" ht="64.95" customHeight="1" x14ac:dyDescent="0.3">
      <c r="A19" s="38">
        <v>11</v>
      </c>
      <c r="B19" s="54" t="s">
        <v>23</v>
      </c>
      <c r="C19" s="58" t="s">
        <v>68</v>
      </c>
      <c r="D19" s="58" t="s">
        <v>69</v>
      </c>
      <c r="E19" s="59" t="s">
        <v>70</v>
      </c>
      <c r="F19" s="54" t="s">
        <v>15</v>
      </c>
      <c r="G19" s="54" t="s">
        <v>5</v>
      </c>
      <c r="H19" s="54"/>
      <c r="I19" s="57" t="s">
        <v>38</v>
      </c>
      <c r="J19" s="39" t="s">
        <v>5</v>
      </c>
      <c r="K19" s="4"/>
      <c r="L19" s="4"/>
      <c r="M19" s="4"/>
      <c r="N19" s="4"/>
      <c r="O19" s="4"/>
      <c r="P19" s="4"/>
      <c r="Q19" s="4"/>
      <c r="R19" s="4"/>
      <c r="S19" s="65"/>
      <c r="T19" s="61"/>
      <c r="U19" s="61"/>
      <c r="V19" s="61"/>
      <c r="W19" s="61"/>
      <c r="X19" s="61"/>
      <c r="Y19" s="61"/>
      <c r="Z19" s="61"/>
      <c r="AA19" s="66"/>
    </row>
    <row r="20" spans="1:27" ht="52.05" customHeight="1" x14ac:dyDescent="0.3">
      <c r="A20" s="38">
        <v>12</v>
      </c>
      <c r="B20" s="54" t="s">
        <v>23</v>
      </c>
      <c r="C20" s="58" t="s">
        <v>71</v>
      </c>
      <c r="D20" s="58" t="s">
        <v>72</v>
      </c>
      <c r="E20" s="59" t="s">
        <v>73</v>
      </c>
      <c r="F20" s="54" t="s">
        <v>22</v>
      </c>
      <c r="G20" s="54" t="s">
        <v>5</v>
      </c>
      <c r="H20" s="54"/>
      <c r="I20" s="57" t="s">
        <v>42</v>
      </c>
      <c r="J20" s="39" t="s">
        <v>6</v>
      </c>
      <c r="K20" s="4"/>
      <c r="L20" s="4"/>
      <c r="M20" s="4"/>
      <c r="N20" s="4"/>
      <c r="O20" s="4"/>
      <c r="P20" s="4"/>
      <c r="Q20" s="4"/>
      <c r="R20" s="4"/>
      <c r="S20" s="65"/>
      <c r="T20" s="61"/>
      <c r="U20" s="61"/>
      <c r="V20" s="61"/>
      <c r="W20" s="61"/>
      <c r="X20" s="61"/>
      <c r="Y20" s="61"/>
      <c r="Z20" s="61"/>
      <c r="AA20" s="66"/>
    </row>
    <row r="21" spans="1:27" ht="64.95" customHeight="1" x14ac:dyDescent="0.3">
      <c r="A21" s="38">
        <v>13</v>
      </c>
      <c r="B21" s="54" t="s">
        <v>23</v>
      </c>
      <c r="C21" s="58" t="s">
        <v>74</v>
      </c>
      <c r="D21" s="58" t="s">
        <v>75</v>
      </c>
      <c r="E21" s="59" t="s">
        <v>76</v>
      </c>
      <c r="F21" s="54" t="s">
        <v>22</v>
      </c>
      <c r="G21" s="54" t="s">
        <v>5</v>
      </c>
      <c r="H21" s="54"/>
      <c r="I21" s="57" t="s">
        <v>42</v>
      </c>
      <c r="J21" s="39" t="s">
        <v>7</v>
      </c>
      <c r="K21" s="4"/>
      <c r="L21" s="4"/>
      <c r="M21" s="4"/>
      <c r="N21" s="4"/>
      <c r="O21" s="4"/>
      <c r="P21" s="4"/>
      <c r="Q21" s="4"/>
      <c r="R21" s="4"/>
      <c r="S21" s="65"/>
      <c r="T21" s="61"/>
      <c r="U21" s="61"/>
      <c r="V21" s="61"/>
      <c r="W21" s="61"/>
      <c r="X21" s="61"/>
      <c r="Y21" s="61"/>
      <c r="Z21" s="61"/>
      <c r="AA21" s="66"/>
    </row>
    <row r="22" spans="1:27" ht="18" customHeight="1" x14ac:dyDescent="0.3">
      <c r="A22" s="38">
        <v>14</v>
      </c>
      <c r="B22" s="40"/>
      <c r="C22" s="42"/>
      <c r="D22" s="42"/>
      <c r="E22" s="43"/>
      <c r="F22" s="40"/>
      <c r="G22" s="40"/>
      <c r="H22" s="40"/>
      <c r="I22" s="41"/>
      <c r="J22" s="39"/>
      <c r="K22" s="4"/>
      <c r="L22" s="4"/>
      <c r="M22" s="4"/>
      <c r="N22" s="4"/>
      <c r="O22" s="4"/>
      <c r="P22" s="4"/>
      <c r="Q22" s="4"/>
      <c r="R22" s="4"/>
      <c r="S22" s="65"/>
      <c r="T22" s="61"/>
      <c r="U22" s="61"/>
      <c r="V22" s="61"/>
      <c r="W22" s="61"/>
      <c r="X22" s="61"/>
      <c r="Y22" s="61"/>
      <c r="Z22" s="61"/>
      <c r="AA22" s="66"/>
    </row>
    <row r="23" spans="1:27" ht="18" customHeight="1" x14ac:dyDescent="0.3">
      <c r="A23" s="38">
        <v>15</v>
      </c>
      <c r="B23" s="40"/>
      <c r="C23" s="42"/>
      <c r="D23" s="42"/>
      <c r="E23" s="43"/>
      <c r="F23" s="40"/>
      <c r="G23" s="40"/>
      <c r="H23" s="40"/>
      <c r="I23" s="41"/>
      <c r="J23" s="39"/>
      <c r="K23" s="4"/>
      <c r="L23" s="4"/>
      <c r="M23" s="4"/>
      <c r="N23" s="4"/>
      <c r="O23" s="4"/>
      <c r="P23" s="4"/>
      <c r="Q23" s="4"/>
      <c r="R23" s="4"/>
      <c r="S23" s="65"/>
      <c r="T23" s="61"/>
      <c r="U23" s="61"/>
      <c r="V23" s="61"/>
      <c r="W23" s="61"/>
      <c r="X23" s="61"/>
      <c r="Y23" s="61"/>
      <c r="Z23" s="61"/>
      <c r="AA23" s="66"/>
    </row>
    <row r="24" spans="1:27" ht="18" customHeight="1" x14ac:dyDescent="0.3">
      <c r="A24" s="38">
        <v>16</v>
      </c>
      <c r="B24" s="40"/>
      <c r="C24" s="42"/>
      <c r="D24" s="42"/>
      <c r="E24" s="43"/>
      <c r="F24" s="40"/>
      <c r="G24" s="40"/>
      <c r="H24" s="40"/>
      <c r="I24" s="41"/>
      <c r="J24" s="39"/>
      <c r="K24" s="4"/>
      <c r="L24" s="4"/>
      <c r="M24" s="4"/>
      <c r="N24" s="4"/>
      <c r="O24" s="4"/>
      <c r="P24" s="4"/>
      <c r="Q24" s="4"/>
      <c r="R24" s="4"/>
      <c r="S24" s="65"/>
      <c r="T24" s="61"/>
      <c r="U24" s="61"/>
      <c r="V24" s="61"/>
      <c r="W24" s="61"/>
      <c r="X24" s="61"/>
      <c r="Y24" s="61"/>
      <c r="Z24" s="61"/>
      <c r="AA24" s="66"/>
    </row>
    <row r="25" spans="1:27" ht="18" customHeight="1" x14ac:dyDescent="0.3">
      <c r="A25" s="38">
        <v>17</v>
      </c>
      <c r="B25" s="40"/>
      <c r="C25" s="42"/>
      <c r="D25" s="42"/>
      <c r="E25" s="43"/>
      <c r="F25" s="40"/>
      <c r="G25" s="40"/>
      <c r="H25" s="40"/>
      <c r="I25" s="41"/>
      <c r="J25" s="39"/>
      <c r="K25" s="4"/>
      <c r="L25" s="4"/>
      <c r="M25" s="4"/>
      <c r="N25" s="4"/>
      <c r="O25" s="4"/>
      <c r="P25" s="4"/>
      <c r="Q25" s="4"/>
      <c r="R25" s="4"/>
      <c r="S25" s="65"/>
      <c r="T25" s="61"/>
      <c r="U25" s="61"/>
      <c r="V25" s="61"/>
      <c r="W25" s="61"/>
      <c r="X25" s="61"/>
      <c r="Y25" s="61"/>
      <c r="Z25" s="61"/>
      <c r="AA25" s="66"/>
    </row>
    <row r="26" spans="1:27" ht="18" customHeight="1" x14ac:dyDescent="0.3">
      <c r="A26" s="38">
        <v>18</v>
      </c>
      <c r="B26" s="40"/>
      <c r="C26" s="42"/>
      <c r="D26" s="42"/>
      <c r="E26" s="43"/>
      <c r="F26" s="40"/>
      <c r="G26" s="40"/>
      <c r="H26" s="40"/>
      <c r="I26" s="41"/>
      <c r="J26" s="39"/>
      <c r="K26" s="4"/>
      <c r="L26" s="4"/>
      <c r="M26" s="4"/>
      <c r="N26" s="4"/>
      <c r="O26" s="4"/>
      <c r="P26" s="4"/>
      <c r="Q26" s="4"/>
      <c r="R26" s="4"/>
      <c r="S26" s="65"/>
      <c r="T26" s="61"/>
      <c r="U26" s="61"/>
      <c r="V26" s="61"/>
      <c r="W26" s="61"/>
      <c r="X26" s="61"/>
      <c r="Y26" s="61"/>
      <c r="Z26" s="61"/>
      <c r="AA26" s="66"/>
    </row>
    <row r="27" spans="1:27" ht="18" customHeight="1" x14ac:dyDescent="0.3">
      <c r="A27" s="38">
        <v>19</v>
      </c>
      <c r="B27" s="40"/>
      <c r="C27" s="42"/>
      <c r="D27" s="42"/>
      <c r="E27" s="43"/>
      <c r="F27" s="40"/>
      <c r="G27" s="40"/>
      <c r="H27" s="40"/>
      <c r="I27" s="41"/>
      <c r="J27" s="39"/>
      <c r="K27" s="4"/>
      <c r="L27" s="4"/>
      <c r="M27" s="4"/>
      <c r="N27" s="4"/>
      <c r="O27" s="4"/>
      <c r="P27" s="4"/>
      <c r="Q27" s="4"/>
      <c r="R27" s="4"/>
      <c r="S27" s="65"/>
      <c r="T27" s="61"/>
      <c r="U27" s="61"/>
      <c r="V27" s="61"/>
      <c r="W27" s="61"/>
      <c r="X27" s="61"/>
      <c r="Y27" s="61"/>
      <c r="Z27" s="61"/>
      <c r="AA27" s="66"/>
    </row>
    <row r="28" spans="1:27" ht="18" customHeight="1" x14ac:dyDescent="0.3">
      <c r="A28" s="38">
        <v>20</v>
      </c>
      <c r="B28" s="40"/>
      <c r="C28" s="42"/>
      <c r="D28" s="42"/>
      <c r="E28" s="43"/>
      <c r="F28" s="40"/>
      <c r="G28" s="40"/>
      <c r="H28" s="40"/>
      <c r="I28" s="41"/>
      <c r="J28" s="39"/>
      <c r="K28" s="4"/>
      <c r="L28" s="4"/>
      <c r="M28" s="4"/>
      <c r="N28" s="4"/>
      <c r="O28" s="4"/>
      <c r="P28" s="4"/>
      <c r="Q28" s="4"/>
      <c r="R28" s="4"/>
      <c r="S28" s="65"/>
      <c r="T28" s="61"/>
      <c r="U28" s="61"/>
      <c r="V28" s="61"/>
      <c r="W28" s="61"/>
      <c r="X28" s="61"/>
      <c r="Y28" s="61"/>
      <c r="Z28" s="61"/>
      <c r="AA28" s="66"/>
    </row>
    <row r="29" spans="1:27" ht="18" customHeight="1" x14ac:dyDescent="0.3">
      <c r="A29" s="38">
        <v>21</v>
      </c>
      <c r="B29" s="40"/>
      <c r="C29" s="42"/>
      <c r="D29" s="42"/>
      <c r="E29" s="43"/>
      <c r="F29" s="40"/>
      <c r="G29" s="40"/>
      <c r="H29" s="40"/>
      <c r="I29" s="41"/>
      <c r="J29" s="39"/>
      <c r="K29" s="4"/>
      <c r="L29" s="4"/>
      <c r="M29" s="4"/>
      <c r="N29" s="4"/>
      <c r="O29" s="4"/>
      <c r="P29" s="4"/>
      <c r="Q29" s="4"/>
      <c r="R29" s="4"/>
      <c r="S29" s="65"/>
      <c r="T29" s="61"/>
      <c r="U29" s="61"/>
      <c r="V29" s="61"/>
      <c r="W29" s="61"/>
      <c r="X29" s="61"/>
      <c r="Y29" s="61"/>
      <c r="Z29" s="61"/>
      <c r="AA29" s="66"/>
    </row>
    <row r="30" spans="1:27" ht="18" customHeight="1" x14ac:dyDescent="0.3">
      <c r="A30" s="38">
        <v>22</v>
      </c>
      <c r="B30" s="40"/>
      <c r="C30" s="42"/>
      <c r="D30" s="42"/>
      <c r="E30" s="43"/>
      <c r="F30" s="40"/>
      <c r="G30" s="40"/>
      <c r="H30" s="40"/>
      <c r="I30" s="41"/>
      <c r="J30" s="39"/>
      <c r="K30" s="4"/>
      <c r="L30" s="4"/>
      <c r="M30" s="4"/>
      <c r="N30" s="4"/>
      <c r="O30" s="4"/>
      <c r="P30" s="4"/>
      <c r="Q30" s="4"/>
      <c r="R30" s="4"/>
      <c r="S30" s="65"/>
      <c r="T30" s="61"/>
      <c r="U30" s="61"/>
      <c r="V30" s="61"/>
      <c r="W30" s="61"/>
      <c r="X30" s="61"/>
      <c r="Y30" s="61"/>
      <c r="Z30" s="61"/>
      <c r="AA30" s="66"/>
    </row>
    <row r="31" spans="1:27" ht="18" customHeight="1" x14ac:dyDescent="0.3">
      <c r="A31" s="38">
        <v>23</v>
      </c>
      <c r="B31" s="40"/>
      <c r="C31" s="42"/>
      <c r="D31" s="42"/>
      <c r="E31" s="43"/>
      <c r="F31" s="40"/>
      <c r="G31" s="40"/>
      <c r="H31" s="40"/>
      <c r="I31" s="41"/>
      <c r="J31" s="39"/>
      <c r="K31" s="4"/>
      <c r="L31" s="4"/>
      <c r="M31" s="4"/>
      <c r="N31" s="4"/>
      <c r="O31" s="4"/>
      <c r="P31" s="4"/>
      <c r="Q31" s="4"/>
      <c r="R31" s="4"/>
      <c r="S31" s="65"/>
      <c r="T31" s="61"/>
      <c r="U31" s="61"/>
      <c r="V31" s="61"/>
      <c r="W31" s="61"/>
      <c r="X31" s="61"/>
      <c r="Y31" s="61"/>
      <c r="Z31" s="61"/>
      <c r="AA31" s="66"/>
    </row>
    <row r="32" spans="1:27" ht="18" customHeight="1" thickBot="1" x14ac:dyDescent="0.35">
      <c r="A32" s="38">
        <v>24</v>
      </c>
      <c r="B32" s="40"/>
      <c r="C32" s="42"/>
      <c r="D32" s="42"/>
      <c r="E32" s="43"/>
      <c r="F32" s="40"/>
      <c r="G32" s="40"/>
      <c r="H32" s="40"/>
      <c r="I32" s="41"/>
      <c r="J32" s="39"/>
      <c r="K32" s="4"/>
      <c r="L32" s="4"/>
      <c r="M32" s="4"/>
      <c r="N32" s="4"/>
      <c r="O32" s="4"/>
      <c r="P32" s="4"/>
      <c r="Q32" s="4"/>
      <c r="R32" s="4"/>
      <c r="S32" s="67"/>
      <c r="T32" s="68"/>
      <c r="U32" s="68"/>
      <c r="V32" s="68"/>
      <c r="W32" s="68"/>
      <c r="X32" s="68"/>
      <c r="Y32" s="68"/>
      <c r="Z32" s="68"/>
      <c r="AA32" s="69"/>
    </row>
    <row r="33" spans="1:27" ht="6" customHeight="1" thickBot="1" x14ac:dyDescent="0.35">
      <c r="A33" s="28"/>
      <c r="B33" s="44"/>
      <c r="C33" s="44"/>
      <c r="D33" s="44"/>
      <c r="E33" s="44"/>
      <c r="F33" s="44"/>
      <c r="G33" s="44"/>
      <c r="H33" s="44"/>
      <c r="I33" s="45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3"/>
      <c r="B35" s="60"/>
      <c r="C35" s="61"/>
      <c r="D35" s="61"/>
      <c r="E35" s="61"/>
      <c r="F35" s="61"/>
      <c r="G35" s="61"/>
      <c r="H35" s="61"/>
      <c r="I35" s="61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46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47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3"/>
      <c r="B39" s="47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3"/>
      <c r="B40" s="47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B35:I35"/>
    <mergeCell ref="S2:AA32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00000000-0002-0000-0000-000000000000}">
      <formula1>$J$13:$J$15</formula1>
    </dataValidation>
    <dataValidation type="list" allowBlank="1" showErrorMessage="1" sqref="B9:B32" xr:uid="{00000000-0002-0000-0000-000001000000}">
      <formula1>$J$8:$J$12</formula1>
    </dataValidation>
    <dataValidation type="list" allowBlank="1" showErrorMessage="1" sqref="G9:G32" xr:uid="{00000000-0002-0000-0000-000002000000}">
      <formula1>$J$16:$J$21</formula1>
    </dataValidation>
  </dataValidations>
  <hyperlinks>
    <hyperlink ref="C1" r:id="rId1" xr:uid="{00000000-0004-0000-00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CC</dc:creator>
  <cp:lastModifiedBy>Anish Gupta</cp:lastModifiedBy>
  <dcterms:created xsi:type="dcterms:W3CDTF">2023-07-28T13:36:26Z</dcterms:created>
  <dcterms:modified xsi:type="dcterms:W3CDTF">2026-10-17T07:35:44Z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