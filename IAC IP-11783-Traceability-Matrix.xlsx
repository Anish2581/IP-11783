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1_Deliverables_Filled\"/>
    </mc:Choice>
  </mc:AlternateContent>
  <xr:revisionPtr revIDLastSave="0" documentId="13_ncr:1_{617EC3FA-182B-4184-8926-88D96AE201D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TRACEABILITY MATRI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/>
  <c r="J5" i="2"/>
  <c r="J4" i="2"/>
  <c r="J3" i="2"/>
</calcChain>
</file>

<file path=xl/sharedStrings.xml><?xml version="1.0" encoding="utf-8"?>
<sst xmlns="http://schemas.openxmlformats.org/spreadsheetml/2006/main" count="162" uniqueCount="131">
  <si>
    <t>INDUSTRY ACADEMIA COMMUNITY</t>
  </si>
  <si>
    <t>DOMAIN NAME: Cyber Security</t>
  </si>
  <si>
    <t>INTERN NAME: Anish Akhilesh Gupta</t>
  </si>
  <si>
    <t>DOCUMENT NAME:</t>
  </si>
  <si>
    <t>REQUIREMENT TRACEABILITY MATRIX (RTM)</t>
  </si>
  <si>
    <t>CREATED ON:</t>
  </si>
  <si>
    <t>DD-MMM-YYYY</t>
  </si>
  <si>
    <t>Purpose of Document</t>
  </si>
  <si>
    <t>A traceability matrix is a document that details the technical requirements for a given test scenario and its current state</t>
  </si>
  <si>
    <t>The RTM will show the requirements coverage in terms of the number of test cases, design status, and execution status. It will also show the UAT status for a specific test case.</t>
  </si>
  <si>
    <t>INSTRUCTIONS:</t>
  </si>
  <si>
    <t>1. Text in Italics are instructions for completing the document</t>
  </si>
  <si>
    <t>2. Text in orange is just for reference and should be deleted before submitting the document</t>
  </si>
  <si>
    <t>3. Comments are added to some of the cells, please read the comments to better understand the terms</t>
  </si>
  <si>
    <t>4. All fields must be duly filled</t>
  </si>
  <si>
    <t>5. The descriptions for what to be filled in each of the fields are provided in the template.</t>
  </si>
  <si>
    <t>6. Clear all the sample data/instructions provided in the template. The data/instruction provided is only for reference purposes.</t>
  </si>
  <si>
    <t>TRACEABILITY MATRIX</t>
  </si>
  <si>
    <t>PROJECT NAME</t>
  </si>
  <si>
    <t>Web Service Open to Malicious Attacks</t>
  </si>
  <si>
    <t>TEST CASE COUNT</t>
  </si>
  <si>
    <t>DOCUMENT VERSION NUMBER</t>
  </si>
  <si>
    <t>1.0</t>
  </si>
  <si>
    <t>PASSED</t>
  </si>
  <si>
    <t>PROJECT MANAGER</t>
  </si>
  <si>
    <t>Harshada Topale</t>
  </si>
  <si>
    <t>FAILED</t>
  </si>
  <si>
    <t>EXECUTED BY</t>
  </si>
  <si>
    <t>Anish Akhilesh Gupta</t>
  </si>
  <si>
    <t>SKIPPED</t>
  </si>
  <si>
    <t>SL.NO</t>
  </si>
  <si>
    <t>TEST CASE</t>
  </si>
  <si>
    <t>TEST INPUT DATA</t>
  </si>
  <si>
    <t>TEST PROCEDURE</t>
  </si>
  <si>
    <t>EXPECTED RESULT</t>
  </si>
  <si>
    <t>ACTUAL RESULT</t>
  </si>
  <si>
    <t xml:space="preserve">STATUS </t>
  </si>
  <si>
    <t>COMMENTS</t>
  </si>
  <si>
    <t>TC-01: Host discovery &amp; port scan</t>
  </si>
  <si>
    <t>nmap -Pn giftacareer.in</t>
  </si>
  <si>
    <t>Network - automated</t>
  </si>
  <si>
    <t>Host reachable; ports 80 and 443 open</t>
  </si>
  <si>
    <t>Host up via AWS Global Accelerator (3.33.251.168 / 15.197.225.128); ports 80 (AWS ELB) and 443 (Golang net/http server) open</t>
  </si>
  <si>
    <t>No other ports open; attack surface limited to 80/443.</t>
  </si>
  <si>
    <t>TC-02: Service/version detection</t>
  </si>
  <si>
    <t>nmap -sV -sC -p 80,443 giftacareer.in</t>
  </si>
  <si>
    <t>Service banners identified</t>
  </si>
  <si>
    <t>Port 80: AWS Elastic Load Balancing; Port 443: Golang net/http server (behind AWS ELB)</t>
  </si>
  <si>
    <t>Software versions are managed-service banners, not directly patchable by site owner.</t>
  </si>
  <si>
    <t>TC-03: SSL/TLS certificate check</t>
  </si>
  <si>
    <t>nmap --script ssl-cert -p 443 giftacareer.in</t>
  </si>
  <si>
    <t>Security - automated</t>
  </si>
  <si>
    <t>Valid, non-expired certificate</t>
  </si>
  <si>
    <t>GoDaddy-issued certificate, CN=giftacareer.in, RSA 2048-bit, valid 23-Aug-2026 to 09-Mar-2027 - valid and not expired</t>
  </si>
  <si>
    <t>Certificate is healthy; re-check before expiry (Mar 2027).</t>
  </si>
  <si>
    <t>TC-04: SSL/TLS cipher strength</t>
  </si>
  <si>
    <t>nmap --script ssl-enum-ciphers -p 443 giftacareer.in</t>
  </si>
  <si>
    <t>Only strong ciphers in use</t>
  </si>
  <si>
    <t>TLS 1.3 only; ciphers AES-128-GCM, AES-256-GCM, ChaCha20-Poly1305, all rated 'A'; least strength: A</t>
  </si>
  <si>
    <t>Strong, modern TLS configuration - no weak/legacy ciphers found.</t>
  </si>
  <si>
    <t>TC-05: HSTS header check</t>
  </si>
  <si>
    <t>nmap --script http-security-headers -p 443 giftacareer.in</t>
  </si>
  <si>
    <t>Strict-Transport-Security header present</t>
  </si>
  <si>
    <t>Strict-Transport-Security (HSTS) is NOT configured on the HTTPS server</t>
  </si>
  <si>
    <t>Finding: site does not force browsers to always use HTTPS; recommend adding HSTS header.</t>
  </si>
  <si>
    <t>TC-06: X-Content-Type-Options header</t>
  </si>
  <si>
    <t>Header present with value 'nosniff'</t>
  </si>
  <si>
    <t>X-Content-Type-Options: nosniff is present</t>
  </si>
  <si>
    <t>Protects against MIME-sniffing; correctly configured.</t>
  </si>
  <si>
    <t>TC-07: X-Frame-Options / clickjacking check</t>
  </si>
  <si>
    <t>nikto -h https://giftacareer.in</t>
  </si>
  <si>
    <t>Anti-clickjacking header present</t>
  </si>
  <si>
    <t>Nikto reports: the anti-clickjacking X-Frame-Options header is not present</t>
  </si>
  <si>
    <t>Finding: site can potentially be embedded in an iframe; recommend adding X-Frame-Options or CSP frame-ancestors.</t>
  </si>
  <si>
    <t>TC-08: HTTP methods check</t>
  </si>
  <si>
    <t>nmap --script http-methods -p 80,443 giftacareer.in</t>
  </si>
  <si>
    <t>Only safe methods (GET/HEAD/OPTIONS) enabled</t>
  </si>
  <si>
    <t>Port 80: GET only. Port 443: GET, HEAD, OPTIONS only - no PUT/DELETE/TRACE</t>
  </si>
  <si>
    <t>No risky HTTP methods exposed.</t>
  </si>
  <si>
    <t>TC-09: Known CVE / vulnerability scripts</t>
  </si>
  <si>
    <t>nmap --script vuln -p 80,443 giftacareer.in</t>
  </si>
  <si>
    <t>No critical CVEs matched</t>
  </si>
  <si>
    <t>No exploitable CVEs were matched against the detected AWS ELB / Golang server banners during the scan window</t>
  </si>
  <si>
    <t>Managed/cloud-fronted services reduce directly exploitable CVE exposure.</t>
  </si>
  <si>
    <t>TC-10: Backup/config file exposure</t>
  </si>
  <si>
    <t>nmap --script http-backup-finder,http-config-backup -p 80,443 giftacareer.in</t>
  </si>
  <si>
    <t>No backup/config files retrievable</t>
  </si>
  <si>
    <t>No backup or configuration files were found exposed on the tested paths</t>
  </si>
  <si>
    <t>No evidence of retrievable backups.</t>
  </si>
  <si>
    <t>TC-11: Directory/admin-panel enumeration</t>
  </si>
  <si>
    <t>nmap --script http-enum -p 80,443 giftacareer.in</t>
  </si>
  <si>
    <t>No sensitive paths accessible without auth</t>
  </si>
  <si>
    <t>No admin panel or sensitive directory was found accessible; root page returns 403 Forbidden directly and redirects externally via a separate mechanism</t>
  </si>
  <si>
    <t>Direct access to the application root is restricted (403), consistent with a protected deployment.</t>
  </si>
  <si>
    <t>TC-12: WAF detection</t>
  </si>
  <si>
    <t>nmap --script http-waf-detect,http-waf-fingerprint -p 80,443 giftacareer.in</t>
  </si>
  <si>
    <t>Presence of WAF noted</t>
  </si>
  <si>
    <t>Random/non-existent paths returned a custom 'wafrule' response header (e.g. on /Pe0AjkPc/), indicating an active Web Application Firewall</t>
  </si>
  <si>
    <t>PASSED (Informational)</t>
  </si>
  <si>
    <t>Confirms a WAF is actively filtering unrecognised requests - a positive security control.</t>
  </si>
  <si>
    <t>TC-13: DoS readiness check (non-flooding)</t>
  </si>
  <si>
    <t>nmap --script http-slowloris-check -p 80,443 giftacareer.in</t>
  </si>
  <si>
    <t>Security - automated, non-destructive</t>
  </si>
  <si>
    <t>Server not critically vulnerable to slow-connection exhaustion</t>
  </si>
  <si>
    <t>Check completed without performing an actual flood; server sits behind AWS ELB which mitigates slow-connection attacks at the load-balancer layer</t>
  </si>
  <si>
    <t>No flood was performed, per Problem Statement rules.</t>
  </si>
  <si>
    <t>TC-14: Full Nikto scan (HTTPS)</t>
  </si>
  <si>
    <t>Consolidated web-server findings captured</t>
  </si>
  <si>
    <t>6 findings logged: server banner disclosure (internal AWS hostname), missing X-Frame-Options, missing HSTS, uncommon x-request-id header, missing X-Content-Type-Options warning repeated, WAF rule header on random path</t>
  </si>
  <si>
    <t>PASSED (findings logged)</t>
  </si>
  <si>
    <t>All findings cross-verified against Nmap results for consistency.</t>
  </si>
  <si>
    <t>TC-15: Nikto scan (HTTP, port 80)</t>
  </si>
  <si>
    <t>nikto -h giftacareer.in -p 80</t>
  </si>
  <si>
    <t>HTTP behaviour verified</t>
  </si>
  <si>
    <t>Root page over HTTP redirects to an external HTTPS site (ccgac.bitrix24.site); no sensitive content served in plaintext</t>
  </si>
  <si>
    <t>Redirect target is outside authorised scope and was not further tested.</t>
  </si>
  <si>
    <t>TC-16: OWASP ZAP spider &amp; active scan</t>
  </si>
  <si>
    <t>ZAP Automated Scan on https://giftacareer.in</t>
  </si>
  <si>
    <t>Security - automated + manual review</t>
  </si>
  <si>
    <t>Site crawled; SQLi/XSS/cookie/clickjacking checks run</t>
  </si>
  <si>
    <t>Spider completed; active scan found no High-risk SQL injection or XSS; Medium/Low alerts consistent with the missing-header findings above</t>
  </si>
  <si>
    <t>ZAP results corroborate the Nmap/Nikto header findings; no critical injection vulnerability found.</t>
  </si>
  <si>
    <t>TC-17: Steganography - encode message</t>
  </si>
  <si>
    <t>Run encode.py on a sample PNG with the message "Cloud Counselage Internship Program"</t>
  </si>
  <si>
    <t>Functional - manual</t>
  </si>
  <si>
    <t>Stego image created without visible distortion</t>
  </si>
  <si>
    <t>Encoded image generated successfully using LSB encoding</t>
  </si>
  <si>
    <t>TC-18: Steganography - decode message</t>
  </si>
  <si>
    <t>Run decode.py on the encoded image</t>
  </si>
  <si>
    <t>Original message recovered exactly</t>
  </si>
  <si>
    <t>Decoder correctly printed "Cloud Counselage Internship Program"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</si>
</sst>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 tint="-0.1499984740745262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7313"/>
        <bgColor indexed="64"/>
      </patternFill>
    </fill>
    <fill>
      <patternFill patternType="solid">
        <fgColor rgb="FFFEC601"/>
        <bgColor indexed="64"/>
      </patternFill>
    </fill>
    <fill>
      <patternFill patternType="solid">
        <fgColor rgb="FF3DA5D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3" xfId="0" applyBorder="1"/>
    <xf numFmtId="0" fontId="0" fillId="2" borderId="4" xfId="0" applyFill="1" applyBorder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/>
    <xf numFmtId="0" fontId="0" fillId="2" borderId="0" xfId="0" applyFill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2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4" borderId="6" xfId="0" applyFont="1" applyFill="1" applyBorder="1"/>
    <xf numFmtId="0" fontId="3" fillId="5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horizontal="left" wrapText="1"/>
    </xf>
    <xf numFmtId="0" fontId="7" fillId="0" borderId="0" xfId="0" applyFont="1" applyAlignment="1">
      <alignment vertical="top" wrapText="1"/>
    </xf>
    <xf numFmtId="0" fontId="0" fillId="0" borderId="6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2" fillId="4" borderId="6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1">
    <dxf>
      <font>
        <strike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3DA5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28575</xdr:rowOff>
    </xdr:from>
    <xdr:to>
      <xdr:col>1</xdr:col>
      <xdr:colOff>1038224</xdr:colOff>
      <xdr:row>6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556" t="23889" r="-556" b="27222"/>
        <a:stretch>
          <a:fillRect/>
        </a:stretch>
      </xdr:blipFill>
      <xdr:spPr>
        <a:xfrm>
          <a:off x="0" y="266700"/>
          <a:ext cx="2047874" cy="9525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20" displayName="Table120" ref="C9:J31" totalsRowShown="0" headerRowDxfId="0">
  <autoFilter ref="C9:J3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000-000001000000}" name="SL.NO"/>
    <tableColumn id="2" xr3:uid="{00000000-0010-0000-0000-000002000000}" name="TEST CASE"/>
    <tableColumn id="3" xr3:uid="{00000000-0010-0000-0000-000003000000}" name="TEST INPUT DATA"/>
    <tableColumn id="4" xr3:uid="{00000000-0010-0000-0000-000004000000}" name="TEST PROCEDURE"/>
    <tableColumn id="5" xr3:uid="{00000000-0010-0000-0000-000005000000}" name="EXPECTED RESULT"/>
    <tableColumn id="6" xr3:uid="{00000000-0010-0000-0000-000006000000}" name="ACTUAL RESULT"/>
    <tableColumn id="7" xr3:uid="{00000000-0010-0000-0000-000007000000}" name="STATUS "/>
    <tableColumn id="8" xr3:uid="{00000000-0010-0000-0000-000008000000}" name="COMMENTS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workbookViewId="0">
      <selection activeCell="B29" sqref="B29"/>
    </sheetView>
  </sheetViews>
  <sheetFormatPr defaultColWidth="11.44140625" defaultRowHeight="14.4" x14ac:dyDescent="0.3"/>
  <cols>
    <col min="1" max="1" width="15.109375" customWidth="1"/>
    <col min="2" max="2" width="21.6640625" customWidth="1"/>
  </cols>
  <sheetData>
    <row r="1" spans="1:2" ht="18.75" customHeight="1" x14ac:dyDescent="0.35">
      <c r="A1" s="18" t="s">
        <v>0</v>
      </c>
    </row>
    <row r="8" spans="1:2" x14ac:dyDescent="0.3">
      <c r="A8" s="11" t="s">
        <v>1</v>
      </c>
    </row>
    <row r="9" spans="1:2" x14ac:dyDescent="0.3">
      <c r="A9" s="11" t="s">
        <v>2</v>
      </c>
    </row>
    <row r="10" spans="1:2" x14ac:dyDescent="0.3">
      <c r="A10" s="11" t="s">
        <v>3</v>
      </c>
      <c r="B10" t="s">
        <v>4</v>
      </c>
    </row>
    <row r="11" spans="1:2" x14ac:dyDescent="0.3">
      <c r="A11" s="11" t="s">
        <v>5</v>
      </c>
      <c r="B11" t="s">
        <v>6</v>
      </c>
    </row>
    <row r="14" spans="1:2" x14ac:dyDescent="0.3">
      <c r="A14" s="11" t="s">
        <v>7</v>
      </c>
    </row>
    <row r="15" spans="1:2" x14ac:dyDescent="0.3">
      <c r="A15" t="s">
        <v>8</v>
      </c>
    </row>
    <row r="16" spans="1:2" x14ac:dyDescent="0.3">
      <c r="A16" s="19" t="s">
        <v>9</v>
      </c>
    </row>
    <row r="17" spans="1:1" x14ac:dyDescent="0.3">
      <c r="A17" s="19"/>
    </row>
    <row r="18" spans="1:1" x14ac:dyDescent="0.3">
      <c r="A18" s="20" t="s">
        <v>10</v>
      </c>
    </row>
    <row r="19" spans="1:1" x14ac:dyDescent="0.3">
      <c r="A19" s="19" t="s">
        <v>11</v>
      </c>
    </row>
    <row r="20" spans="1:1" x14ac:dyDescent="0.3">
      <c r="A20" s="19" t="s">
        <v>12</v>
      </c>
    </row>
    <row r="21" spans="1:1" x14ac:dyDescent="0.3">
      <c r="A21" s="19" t="s">
        <v>13</v>
      </c>
    </row>
    <row r="22" spans="1:1" x14ac:dyDescent="0.3">
      <c r="A22" s="19" t="s">
        <v>14</v>
      </c>
    </row>
    <row r="23" spans="1:1" x14ac:dyDescent="0.3">
      <c r="A23" s="19" t="s">
        <v>15</v>
      </c>
    </row>
    <row r="24" spans="1:1" x14ac:dyDescent="0.3">
      <c r="A24" s="19" t="s">
        <v>16</v>
      </c>
    </row>
    <row r="25" spans="1:1" x14ac:dyDescent="0.3">
      <c r="A25" s="19"/>
    </row>
    <row r="26" spans="1:1" x14ac:dyDescent="0.3">
      <c r="A26" s="21"/>
    </row>
    <row r="27" spans="1:1" x14ac:dyDescent="0.3">
      <c r="A27" s="19"/>
    </row>
    <row r="28" spans="1:1" x14ac:dyDescent="0.3">
      <c r="A28" s="1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K32"/>
  <sheetViews>
    <sheetView showGridLines="0" tabSelected="1" workbookViewId="0">
      <selection activeCell="I8" sqref="I8"/>
    </sheetView>
  </sheetViews>
  <sheetFormatPr defaultColWidth="8.88671875" defaultRowHeight="14.4" x14ac:dyDescent="0.3"/>
  <cols>
    <col min="1" max="1" width="2" customWidth="1"/>
    <col min="2" max="2" width="1.6640625" customWidth="1"/>
    <col min="3" max="3" width="11" customWidth="1"/>
    <col min="4" max="5" width="18.33203125" customWidth="1"/>
    <col min="6" max="8" width="18.109375" customWidth="1"/>
    <col min="9" max="9" width="22" customWidth="1"/>
    <col min="10" max="10" width="27.109375" customWidth="1"/>
    <col min="11" max="11" width="3.109375" customWidth="1"/>
    <col min="12" max="12" width="3.6640625" customWidth="1"/>
  </cols>
  <sheetData>
    <row r="1" spans="2:11" ht="26.25" customHeight="1" x14ac:dyDescent="0.3">
      <c r="B1" s="1"/>
      <c r="C1" s="27" t="s">
        <v>17</v>
      </c>
      <c r="D1" s="28"/>
      <c r="E1" s="28"/>
      <c r="F1" s="28"/>
      <c r="G1" s="28"/>
      <c r="H1" s="28"/>
      <c r="I1" s="28"/>
      <c r="J1" s="28"/>
      <c r="K1" s="2"/>
    </row>
    <row r="2" spans="2:11" s="7" customFormat="1" ht="26.25" customHeight="1" x14ac:dyDescent="0.3">
      <c r="B2" s="3"/>
      <c r="C2" s="4"/>
      <c r="D2" s="5"/>
      <c r="E2" s="5"/>
      <c r="F2" s="5"/>
      <c r="G2" s="5"/>
      <c r="H2" s="5"/>
      <c r="I2" s="5"/>
      <c r="J2" s="5"/>
      <c r="K2" s="6"/>
    </row>
    <row r="3" spans="2:11" x14ac:dyDescent="0.3">
      <c r="B3" s="8"/>
      <c r="C3" s="26" t="s">
        <v>18</v>
      </c>
      <c r="D3" s="24"/>
      <c r="E3" s="25"/>
      <c r="F3" s="23" t="s">
        <v>19</v>
      </c>
      <c r="G3" s="24"/>
      <c r="H3" s="25"/>
      <c r="I3" s="15" t="s">
        <v>20</v>
      </c>
      <c r="J3" s="9">
        <f>COUNT(Table120[SL.NO])</f>
        <v>18</v>
      </c>
      <c r="K3" s="10"/>
    </row>
    <row r="4" spans="2:11" x14ac:dyDescent="0.3">
      <c r="B4" s="8"/>
      <c r="C4" s="26" t="s">
        <v>21</v>
      </c>
      <c r="D4" s="24"/>
      <c r="E4" s="25"/>
      <c r="F4" s="23" t="s">
        <v>22</v>
      </c>
      <c r="G4" s="24"/>
      <c r="H4" s="25"/>
      <c r="I4" s="15" t="s">
        <v>23</v>
      </c>
      <c r="J4" s="9">
        <f>COUNTIF(Table120[[STATUS ]],"PASSED")</f>
        <v>13</v>
      </c>
      <c r="K4" s="10"/>
    </row>
    <row r="5" spans="2:11" x14ac:dyDescent="0.3">
      <c r="B5" s="8"/>
      <c r="C5" s="26" t="s">
        <v>24</v>
      </c>
      <c r="D5" s="24"/>
      <c r="E5" s="25"/>
      <c r="F5" s="23" t="s">
        <v>25</v>
      </c>
      <c r="G5" s="24"/>
      <c r="H5" s="25"/>
      <c r="I5" s="15" t="s">
        <v>26</v>
      </c>
      <c r="J5" s="9">
        <f>COUNTIF(Table120[[STATUS ]],"FAILED")</f>
        <v>2</v>
      </c>
      <c r="K5" s="10"/>
    </row>
    <row r="6" spans="2:11" x14ac:dyDescent="0.3">
      <c r="B6" s="8"/>
      <c r="C6" s="26" t="s">
        <v>27</v>
      </c>
      <c r="D6" s="24"/>
      <c r="E6" s="25"/>
      <c r="F6" s="23" t="s">
        <v>28</v>
      </c>
      <c r="G6" s="24"/>
      <c r="H6" s="25"/>
      <c r="I6" s="15" t="s">
        <v>29</v>
      </c>
      <c r="J6" s="9">
        <f>COUNTIF(Table120[[STATUS ]],"SKIPPED")</f>
        <v>0</v>
      </c>
      <c r="K6" s="10"/>
    </row>
    <row r="7" spans="2:11" x14ac:dyDescent="0.3">
      <c r="B7" s="8"/>
      <c r="K7" s="10"/>
    </row>
    <row r="8" spans="2:11" x14ac:dyDescent="0.3">
      <c r="B8" s="8"/>
      <c r="K8" s="10"/>
    </row>
    <row r="9" spans="2:11" x14ac:dyDescent="0.3">
      <c r="B9" s="8"/>
      <c r="C9" s="16" t="s">
        <v>30</v>
      </c>
      <c r="D9" s="16" t="s">
        <v>31</v>
      </c>
      <c r="E9" s="16" t="s">
        <v>32</v>
      </c>
      <c r="F9" s="16" t="s">
        <v>33</v>
      </c>
      <c r="G9" s="16" t="s">
        <v>34</v>
      </c>
      <c r="H9" s="16" t="s">
        <v>35</v>
      </c>
      <c r="I9" s="16" t="s">
        <v>36</v>
      </c>
      <c r="J9" s="16" t="s">
        <v>37</v>
      </c>
      <c r="K9" s="10"/>
    </row>
    <row r="10" spans="2:11" ht="102" customHeight="1" x14ac:dyDescent="0.3">
      <c r="B10" s="8"/>
      <c r="C10" s="22">
        <v>1</v>
      </c>
      <c r="D10" s="22" t="s">
        <v>38</v>
      </c>
      <c r="E10" s="22" t="s">
        <v>39</v>
      </c>
      <c r="F10" s="22" t="s">
        <v>40</v>
      </c>
      <c r="G10" s="22" t="s">
        <v>41</v>
      </c>
      <c r="H10" s="22" t="s">
        <v>42</v>
      </c>
      <c r="I10" s="22" t="s">
        <v>23</v>
      </c>
      <c r="J10" s="22" t="s">
        <v>43</v>
      </c>
      <c r="K10" s="10"/>
    </row>
    <row r="11" spans="2:11" ht="73.95" customHeight="1" x14ac:dyDescent="0.3">
      <c r="B11" s="8"/>
      <c r="C11" s="22">
        <v>2</v>
      </c>
      <c r="D11" s="22" t="s">
        <v>44</v>
      </c>
      <c r="E11" s="22" t="s">
        <v>45</v>
      </c>
      <c r="F11" s="22" t="s">
        <v>40</v>
      </c>
      <c r="G11" s="22" t="s">
        <v>46</v>
      </c>
      <c r="H11" s="22" t="s">
        <v>47</v>
      </c>
      <c r="I11" s="22" t="s">
        <v>23</v>
      </c>
      <c r="J11" s="22" t="s">
        <v>48</v>
      </c>
      <c r="K11" s="10"/>
    </row>
    <row r="12" spans="2:11" ht="102" customHeight="1" x14ac:dyDescent="0.3">
      <c r="B12" s="8"/>
      <c r="C12" s="22">
        <v>3</v>
      </c>
      <c r="D12" s="22" t="s">
        <v>49</v>
      </c>
      <c r="E12" s="22" t="s">
        <v>50</v>
      </c>
      <c r="F12" s="22" t="s">
        <v>51</v>
      </c>
      <c r="G12" s="22" t="s">
        <v>52</v>
      </c>
      <c r="H12" s="22" t="s">
        <v>53</v>
      </c>
      <c r="I12" s="22" t="s">
        <v>23</v>
      </c>
      <c r="J12" s="22" t="s">
        <v>54</v>
      </c>
      <c r="K12" s="10"/>
    </row>
    <row r="13" spans="2:11" ht="88.05" customHeight="1" x14ac:dyDescent="0.3">
      <c r="B13" s="8"/>
      <c r="C13" s="22">
        <v>4</v>
      </c>
      <c r="D13" s="22" t="s">
        <v>55</v>
      </c>
      <c r="E13" s="22" t="s">
        <v>56</v>
      </c>
      <c r="F13" s="22" t="s">
        <v>51</v>
      </c>
      <c r="G13" s="22" t="s">
        <v>57</v>
      </c>
      <c r="H13" s="22" t="s">
        <v>58</v>
      </c>
      <c r="I13" s="22" t="s">
        <v>23</v>
      </c>
      <c r="J13" s="22" t="s">
        <v>59</v>
      </c>
      <c r="K13" s="10"/>
    </row>
    <row r="14" spans="2:11" ht="60" customHeight="1" x14ac:dyDescent="0.3">
      <c r="B14" s="8"/>
      <c r="C14" s="22">
        <v>5</v>
      </c>
      <c r="D14" s="22" t="s">
        <v>60</v>
      </c>
      <c r="E14" s="22" t="s">
        <v>61</v>
      </c>
      <c r="F14" s="22" t="s">
        <v>51</v>
      </c>
      <c r="G14" s="22" t="s">
        <v>62</v>
      </c>
      <c r="H14" s="22" t="s">
        <v>63</v>
      </c>
      <c r="I14" s="22" t="s">
        <v>26</v>
      </c>
      <c r="J14" s="22" t="s">
        <v>64</v>
      </c>
      <c r="K14" s="10"/>
    </row>
    <row r="15" spans="2:11" ht="46.05" customHeight="1" x14ac:dyDescent="0.3">
      <c r="B15" s="8"/>
      <c r="C15" s="22">
        <v>6</v>
      </c>
      <c r="D15" s="22" t="s">
        <v>65</v>
      </c>
      <c r="E15" s="22" t="s">
        <v>61</v>
      </c>
      <c r="F15" s="22" t="s">
        <v>51</v>
      </c>
      <c r="G15" s="22" t="s">
        <v>66</v>
      </c>
      <c r="H15" s="22" t="s">
        <v>67</v>
      </c>
      <c r="I15" s="22" t="s">
        <v>23</v>
      </c>
      <c r="J15" s="22" t="s">
        <v>68</v>
      </c>
      <c r="K15" s="10"/>
    </row>
    <row r="16" spans="2:11" ht="60" customHeight="1" x14ac:dyDescent="0.3">
      <c r="B16" s="8"/>
      <c r="C16" s="22">
        <v>7</v>
      </c>
      <c r="D16" s="22" t="s">
        <v>69</v>
      </c>
      <c r="E16" s="22" t="s">
        <v>70</v>
      </c>
      <c r="F16" s="22" t="s">
        <v>51</v>
      </c>
      <c r="G16" s="22" t="s">
        <v>71</v>
      </c>
      <c r="H16" s="22" t="s">
        <v>72</v>
      </c>
      <c r="I16" s="22" t="s">
        <v>26</v>
      </c>
      <c r="J16" s="22" t="s">
        <v>73</v>
      </c>
      <c r="K16" s="10"/>
    </row>
    <row r="17" spans="2:11" ht="60" customHeight="1" x14ac:dyDescent="0.3">
      <c r="B17" s="8"/>
      <c r="C17" s="22">
        <v>8</v>
      </c>
      <c r="D17" s="22" t="s">
        <v>74</v>
      </c>
      <c r="E17" s="22" t="s">
        <v>75</v>
      </c>
      <c r="F17" s="22" t="s">
        <v>51</v>
      </c>
      <c r="G17" s="22" t="s">
        <v>76</v>
      </c>
      <c r="H17" s="22" t="s">
        <v>77</v>
      </c>
      <c r="I17" s="22" t="s">
        <v>23</v>
      </c>
      <c r="J17" s="22" t="s">
        <v>78</v>
      </c>
      <c r="K17" s="10"/>
    </row>
    <row r="18" spans="2:11" ht="88.05" customHeight="1" x14ac:dyDescent="0.3">
      <c r="B18" s="8"/>
      <c r="C18" s="22">
        <v>9</v>
      </c>
      <c r="D18" s="22" t="s">
        <v>79</v>
      </c>
      <c r="E18" s="22" t="s">
        <v>80</v>
      </c>
      <c r="F18" s="22" t="s">
        <v>51</v>
      </c>
      <c r="G18" s="22" t="s">
        <v>81</v>
      </c>
      <c r="H18" s="22" t="s">
        <v>82</v>
      </c>
      <c r="I18" s="22" t="s">
        <v>23</v>
      </c>
      <c r="J18" s="22" t="s">
        <v>83</v>
      </c>
      <c r="K18" s="10"/>
    </row>
    <row r="19" spans="2:11" ht="60" customHeight="1" x14ac:dyDescent="0.3">
      <c r="B19" s="8"/>
      <c r="C19" s="22">
        <v>10</v>
      </c>
      <c r="D19" s="22" t="s">
        <v>84</v>
      </c>
      <c r="E19" s="22" t="s">
        <v>85</v>
      </c>
      <c r="F19" s="22" t="s">
        <v>51</v>
      </c>
      <c r="G19" s="22" t="s">
        <v>86</v>
      </c>
      <c r="H19" s="22" t="s">
        <v>87</v>
      </c>
      <c r="I19" s="22" t="s">
        <v>23</v>
      </c>
      <c r="J19" s="22" t="s">
        <v>88</v>
      </c>
      <c r="K19" s="10"/>
    </row>
    <row r="20" spans="2:11" ht="115.95" customHeight="1" x14ac:dyDescent="0.3">
      <c r="B20" s="8"/>
      <c r="C20" s="22">
        <v>11</v>
      </c>
      <c r="D20" s="22" t="s">
        <v>89</v>
      </c>
      <c r="E20" s="22" t="s">
        <v>90</v>
      </c>
      <c r="F20" s="22" t="s">
        <v>51</v>
      </c>
      <c r="G20" s="22" t="s">
        <v>91</v>
      </c>
      <c r="H20" s="22" t="s">
        <v>92</v>
      </c>
      <c r="I20" s="22" t="s">
        <v>23</v>
      </c>
      <c r="J20" s="22" t="s">
        <v>93</v>
      </c>
      <c r="K20" s="10"/>
    </row>
    <row r="21" spans="2:11" ht="115.95" customHeight="1" x14ac:dyDescent="0.3">
      <c r="B21" s="8"/>
      <c r="C21" s="22">
        <v>12</v>
      </c>
      <c r="D21" s="22" t="s">
        <v>94</v>
      </c>
      <c r="E21" s="22" t="s">
        <v>95</v>
      </c>
      <c r="F21" s="22" t="s">
        <v>51</v>
      </c>
      <c r="G21" s="22" t="s">
        <v>96</v>
      </c>
      <c r="H21" s="22" t="s">
        <v>97</v>
      </c>
      <c r="I21" s="22" t="s">
        <v>98</v>
      </c>
      <c r="J21" s="22" t="s">
        <v>99</v>
      </c>
      <c r="K21" s="10"/>
    </row>
    <row r="22" spans="2:11" ht="115.95" customHeight="1" x14ac:dyDescent="0.3">
      <c r="B22" s="8"/>
      <c r="C22" s="22">
        <v>13</v>
      </c>
      <c r="D22" s="22" t="s">
        <v>100</v>
      </c>
      <c r="E22" s="22" t="s">
        <v>101</v>
      </c>
      <c r="F22" s="22" t="s">
        <v>102</v>
      </c>
      <c r="G22" s="22" t="s">
        <v>103</v>
      </c>
      <c r="H22" s="22" t="s">
        <v>104</v>
      </c>
      <c r="I22" s="22" t="s">
        <v>23</v>
      </c>
      <c r="J22" s="22" t="s">
        <v>105</v>
      </c>
      <c r="K22" s="10"/>
    </row>
    <row r="23" spans="2:11" ht="172.05" customHeight="1" x14ac:dyDescent="0.3">
      <c r="B23" s="8"/>
      <c r="C23" s="22">
        <v>14</v>
      </c>
      <c r="D23" s="22" t="s">
        <v>106</v>
      </c>
      <c r="E23" s="22" t="s">
        <v>70</v>
      </c>
      <c r="F23" s="22" t="s">
        <v>51</v>
      </c>
      <c r="G23" s="22" t="s">
        <v>107</v>
      </c>
      <c r="H23" s="22" t="s">
        <v>108</v>
      </c>
      <c r="I23" s="22" t="s">
        <v>109</v>
      </c>
      <c r="J23" s="22" t="s">
        <v>110</v>
      </c>
      <c r="K23" s="10"/>
    </row>
    <row r="24" spans="2:11" ht="102" customHeight="1" x14ac:dyDescent="0.3">
      <c r="B24" s="8"/>
      <c r="C24" s="22">
        <v>15</v>
      </c>
      <c r="D24" s="22" t="s">
        <v>111</v>
      </c>
      <c r="E24" s="22" t="s">
        <v>112</v>
      </c>
      <c r="F24" s="22" t="s">
        <v>51</v>
      </c>
      <c r="G24" s="22" t="s">
        <v>113</v>
      </c>
      <c r="H24" s="22" t="s">
        <v>114</v>
      </c>
      <c r="I24" s="22" t="s">
        <v>23</v>
      </c>
      <c r="J24" s="22" t="s">
        <v>115</v>
      </c>
      <c r="K24" s="10"/>
    </row>
    <row r="25" spans="2:11" ht="115.95" customHeight="1" x14ac:dyDescent="0.3">
      <c r="B25" s="8"/>
      <c r="C25" s="22">
        <v>16</v>
      </c>
      <c r="D25" s="22" t="s">
        <v>116</v>
      </c>
      <c r="E25" s="22" t="s">
        <v>117</v>
      </c>
      <c r="F25" s="22" t="s">
        <v>118</v>
      </c>
      <c r="G25" s="22" t="s">
        <v>119</v>
      </c>
      <c r="H25" s="22" t="s">
        <v>120</v>
      </c>
      <c r="I25" s="22" t="s">
        <v>109</v>
      </c>
      <c r="J25" s="22" t="s">
        <v>121</v>
      </c>
      <c r="K25" s="10"/>
    </row>
    <row r="26" spans="2:11" ht="73.95" customHeight="1" x14ac:dyDescent="0.3">
      <c r="B26" s="8"/>
      <c r="C26" s="22">
        <v>17</v>
      </c>
      <c r="D26" s="22" t="s">
        <v>122</v>
      </c>
      <c r="E26" s="22" t="s">
        <v>123</v>
      </c>
      <c r="F26" s="22" t="s">
        <v>124</v>
      </c>
      <c r="G26" s="22" t="s">
        <v>125</v>
      </c>
      <c r="H26" s="22" t="s">
        <v>126</v>
      </c>
      <c r="I26" s="22" t="s">
        <v>23</v>
      </c>
      <c r="J26" s="22"/>
      <c r="K26" s="10"/>
    </row>
    <row r="27" spans="2:11" ht="60" customHeight="1" x14ac:dyDescent="0.3">
      <c r="B27" s="8"/>
      <c r="C27" s="22">
        <v>18</v>
      </c>
      <c r="D27" s="22" t="s">
        <v>127</v>
      </c>
      <c r="E27" s="22" t="s">
        <v>128</v>
      </c>
      <c r="F27" s="22" t="s">
        <v>124</v>
      </c>
      <c r="G27" s="22" t="s">
        <v>129</v>
      </c>
      <c r="H27" s="22" t="s">
        <v>130</v>
      </c>
      <c r="I27" s="22" t="s">
        <v>23</v>
      </c>
      <c r="J27" s="22"/>
      <c r="K27" s="10"/>
    </row>
    <row r="28" spans="2:11" x14ac:dyDescent="0.3">
      <c r="B28" s="8"/>
      <c r="K28" s="10"/>
    </row>
    <row r="29" spans="2:11" x14ac:dyDescent="0.3">
      <c r="B29" s="8"/>
      <c r="K29" s="10"/>
    </row>
    <row r="30" spans="2:11" x14ac:dyDescent="0.3">
      <c r="B30" s="8"/>
      <c r="K30" s="10"/>
    </row>
    <row r="31" spans="2:11" x14ac:dyDescent="0.3">
      <c r="B31" s="8"/>
      <c r="C31" s="17"/>
      <c r="D31" s="17"/>
      <c r="E31" s="17"/>
      <c r="F31" s="17"/>
      <c r="G31" s="17"/>
      <c r="H31" s="17"/>
      <c r="I31" s="17"/>
      <c r="J31" s="17"/>
      <c r="K31" s="10"/>
    </row>
    <row r="32" spans="2:11" ht="15.75" customHeight="1" thickBot="1" x14ac:dyDescent="0.35">
      <c r="B32" s="12"/>
      <c r="C32" s="13"/>
      <c r="D32" s="13"/>
      <c r="E32" s="13"/>
      <c r="F32" s="13"/>
      <c r="G32" s="13"/>
      <c r="H32" s="13"/>
      <c r="I32" s="13"/>
      <c r="J32" s="13"/>
      <c r="K32" s="14"/>
    </row>
  </sheetData>
  <mergeCells count="9">
    <mergeCell ref="F6:H6"/>
    <mergeCell ref="F5:H5"/>
    <mergeCell ref="C5:E5"/>
    <mergeCell ref="C1:J1"/>
    <mergeCell ref="C4:E4"/>
    <mergeCell ref="C3:E3"/>
    <mergeCell ref="F4:H4"/>
    <mergeCell ref="F3:H3"/>
    <mergeCell ref="C6:E6"/>
  </mergeCells>
  <dataValidations count="1">
    <dataValidation type="list" allowBlank="1" showInputMessage="1" showErrorMessage="1" sqref="I10:I31" xr:uid="{00000000-0002-0000-0100-000000000000}">
      <formula1>"PASSED, FAILED, SKIPPED"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TRACEABILITY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 CC</dc:creator>
  <cp:lastModifiedBy>Anish Gupta</cp:lastModifiedBy>
  <dcterms:created xsi:type="dcterms:W3CDTF">2023-08-18T02:43:40Z</dcterms:created>
  <dcterms:modified xsi:type="dcterms:W3CDTF">2026-10-17T07:36:54Z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